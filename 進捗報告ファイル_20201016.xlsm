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mum\Programs\VBA_projects\"/>
    </mc:Choice>
  </mc:AlternateContent>
  <xr:revisionPtr revIDLastSave="0" documentId="8_{D7D55360-73DB-4363-9196-E1A575ED035F}" xr6:coauthVersionLast="45" xr6:coauthVersionMax="45" xr10:uidLastSave="{00000000-0000-0000-0000-000000000000}"/>
  <bookViews>
    <workbookView xWindow="8205" yWindow="1935" windowWidth="15300" windowHeight="10875" xr2:uid="{D86D51BF-41D0-4AE1-9131-370DEDCFB8CC}"/>
  </bookViews>
  <sheets>
    <sheet name="進捗シート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" l="1"/>
  <c r="J20" i="1"/>
  <c r="F20" i="1"/>
  <c r="Y23" i="1"/>
  <c r="X22" i="1"/>
  <c r="Y22" i="1" s="1"/>
  <c r="X21" i="1"/>
  <c r="Y21" i="1" s="1"/>
  <c r="X20" i="1"/>
  <c r="Y20" i="1" s="1"/>
  <c r="W19" i="1"/>
  <c r="V19" i="1"/>
  <c r="U19" i="1"/>
  <c r="T19" i="1"/>
  <c r="S19" i="1"/>
  <c r="R19" i="1"/>
  <c r="Q19" i="1"/>
  <c r="K21" i="1"/>
  <c r="L21" i="1" s="1"/>
  <c r="K22" i="1"/>
  <c r="L22" i="1" s="1"/>
  <c r="L23" i="1"/>
  <c r="J19" i="1"/>
  <c r="I19" i="1"/>
  <c r="I20" i="1" s="1"/>
  <c r="H19" i="1"/>
  <c r="H20" i="1" s="1"/>
  <c r="G19" i="1"/>
  <c r="F19" i="1"/>
  <c r="E19" i="1"/>
  <c r="D19" i="1"/>
  <c r="X19" i="1" l="1"/>
  <c r="Y19" i="1" s="1"/>
  <c r="K19" i="1"/>
  <c r="L19" i="1" l="1"/>
  <c r="L20" i="1" s="1"/>
  <c r="K20" i="1"/>
</calcChain>
</file>

<file path=xl/sharedStrings.xml><?xml version="1.0" encoding="utf-8"?>
<sst xmlns="http://schemas.openxmlformats.org/spreadsheetml/2006/main" count="40" uniqueCount="22">
  <si>
    <t>本日実施アプリ</t>
    <rPh sb="0" eb="2">
      <t>ホンジツ</t>
    </rPh>
    <rPh sb="2" eb="4">
      <t>ジッシ</t>
    </rPh>
    <phoneticPr fontId="1"/>
  </si>
  <si>
    <t>dポイントクラブ(Sprint101)</t>
    <phoneticPr fontId="1"/>
  </si>
  <si>
    <t>dポイントクラブ(Sprint102)</t>
    <phoneticPr fontId="1"/>
  </si>
  <si>
    <t>dポイントクラブ(Sprint103)</t>
    <phoneticPr fontId="1"/>
  </si>
  <si>
    <t>iOSリグレッション試験</t>
    <rPh sb="10" eb="12">
      <t>シケン</t>
    </rPh>
    <phoneticPr fontId="1"/>
  </si>
  <si>
    <t>Androidリグレッション試験</t>
    <rPh sb="14" eb="16">
      <t>シケン</t>
    </rPh>
    <phoneticPr fontId="1"/>
  </si>
  <si>
    <t>進捗</t>
    <rPh sb="0" eb="2">
      <t>シンチョク</t>
    </rPh>
    <phoneticPr fontId="1"/>
  </si>
  <si>
    <t>本線</t>
    <rPh sb="0" eb="2">
      <t>ホンセン</t>
    </rPh>
    <phoneticPr fontId="1"/>
  </si>
  <si>
    <t>リグレッション試験</t>
    <rPh sb="7" eb="9">
      <t>シケン</t>
    </rPh>
    <phoneticPr fontId="1"/>
  </si>
  <si>
    <t>前日比</t>
    <rPh sb="0" eb="3">
      <t>ゼンジツヒ</t>
    </rPh>
    <phoneticPr fontId="1"/>
  </si>
  <si>
    <t>探索的試験</t>
    <rPh sb="0" eb="3">
      <t>タンサクテキ</t>
    </rPh>
    <rPh sb="3" eb="5">
      <t>シケン</t>
    </rPh>
    <phoneticPr fontId="1"/>
  </si>
  <si>
    <t>総数</t>
    <rPh sb="0" eb="2">
      <t>ソウスウ</t>
    </rPh>
    <phoneticPr fontId="1"/>
  </si>
  <si>
    <t>総件数</t>
    <rPh sb="0" eb="3">
      <t>ソウケンスウ</t>
    </rPh>
    <phoneticPr fontId="1"/>
  </si>
  <si>
    <t>計画</t>
    <rPh sb="0" eb="2">
      <t>ケイカク</t>
    </rPh>
    <phoneticPr fontId="1"/>
  </si>
  <si>
    <t>OK</t>
    <phoneticPr fontId="1"/>
  </si>
  <si>
    <t>NG</t>
    <phoneticPr fontId="1"/>
  </si>
  <si>
    <t>NG→OK</t>
    <phoneticPr fontId="1"/>
  </si>
  <si>
    <t>NT</t>
    <phoneticPr fontId="1"/>
  </si>
  <si>
    <t>QA</t>
    <phoneticPr fontId="1"/>
  </si>
  <si>
    <t>未実施</t>
    <rPh sb="0" eb="3">
      <t>ミジッシ</t>
    </rPh>
    <phoneticPr fontId="1"/>
  </si>
  <si>
    <t>残件</t>
    <rPh sb="0" eb="2">
      <t>ザンケン</t>
    </rPh>
    <phoneticPr fontId="1"/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</si>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</sst>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_ ;[Red]\-0\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18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68278-0D4B-4DBF-BF16-B04967D9AEB9}">
  <dimension ref="B1:Z26"/>
  <sheetViews>
    <sheetView tabSelected="1" topLeftCell="D1" workbookViewId="0">
      <selection activeCell="F9" sqref="F9"/>
    </sheetView>
  </sheetViews>
  <sheetFormatPr defaultRowHeight="18.75" x14ac:dyDescent="0.4"/>
  <cols>
    <col min="3" max="3" width="33.625" customWidth="1"/>
  </cols>
  <sheetData>
    <row r="1" spans="2:3" x14ac:dyDescent="0.4">
      <c r="C1" s="1">
        <v>44118</v>
      </c>
    </row>
    <row r="3" spans="2:3" x14ac:dyDescent="0.4">
      <c r="C3" t="s">
        <v>0</v>
      </c>
    </row>
    <row r="4" spans="2:3" x14ac:dyDescent="0.4">
      <c r="B4">
        <v>1</v>
      </c>
      <c r="C4" t="s">
        <v>1</v>
      </c>
    </row>
    <row r="5" spans="2:3" x14ac:dyDescent="0.4">
      <c r="B5">
        <v>2</v>
      </c>
      <c r="C5" t="s">
        <v>2</v>
      </c>
    </row>
    <row r="6" spans="2:3" x14ac:dyDescent="0.4">
      <c r="B6">
        <v>3</v>
      </c>
      <c r="C6" t="s">
        <v>3</v>
      </c>
    </row>
    <row r="7" spans="2:3" x14ac:dyDescent="0.4">
      <c r="B7">
        <v>4</v>
      </c>
      <c r="C7" t="s">
        <v>4</v>
      </c>
    </row>
    <row r="8" spans="2:3" x14ac:dyDescent="0.4">
      <c r="B8">
        <v>5</v>
      </c>
      <c r="C8" t="s">
        <v>5</v>
      </c>
    </row>
    <row r="15" spans="2:3" x14ac:dyDescent="0.4">
      <c r="B15" t="s">
        <v>1</v>
      </c>
    </row>
    <row r="18" spans="2:26" x14ac:dyDescent="0.4">
      <c r="D18" t="s">
        <v>12</v>
      </c>
      <c r="E18" t="s">
        <v>13</v>
      </c>
      <c r="F18" t="s">
        <v>14</v>
      </c>
      <c r="G18" t="s">
        <v>15</v>
      </c>
      <c r="H18" t="s">
        <v>16</v>
      </c>
      <c r="I18" t="s">
        <v>17</v>
      </c>
      <c r="J18" t="s">
        <v>18</v>
      </c>
      <c r="K18" t="s">
        <v>19</v>
      </c>
      <c r="L18" t="s">
        <v>20</v>
      </c>
      <c r="M18" t="s">
        <v>6</v>
      </c>
      <c r="Q18" t="s">
        <v>12</v>
      </c>
      <c r="R18" t="s">
        <v>13</v>
      </c>
      <c r="S18" t="s">
        <v>14</v>
      </c>
      <c r="T18" t="s">
        <v>15</v>
      </c>
      <c r="U18" t="s">
        <v>16</v>
      </c>
      <c r="V18" t="s">
        <v>17</v>
      </c>
      <c r="W18" t="s">
        <v>18</v>
      </c>
      <c r="X18" t="s">
        <v>19</v>
      </c>
      <c r="Y18" t="s">
        <v>20</v>
      </c>
      <c r="Z18" t="s">
        <v>6</v>
      </c>
    </row>
    <row r="19" spans="2:26" x14ac:dyDescent="0.4">
      <c r="C19" t="s">
        <v>11</v>
      </c>
      <c r="D19">
        <f>SUM(D21:D23)</f>
        <v>175</v>
      </c>
      <c r="E19">
        <f>SUM(E21:E23)</f>
        <v>175</v>
      </c>
      <c r="F19">
        <f>SUM(F21:F23)</f>
        <v>107</v>
      </c>
      <c r="G19">
        <f>SUM(G21:G23)</f>
        <v>5</v>
      </c>
      <c r="H19">
        <f>SUM(H21:H23)</f>
        <v>1</v>
      </c>
      <c r="I19">
        <f>SUM(I21:I23)</f>
        <v>1</v>
      </c>
      <c r="J19">
        <f>SUM(J21:J23)</f>
        <v>25</v>
      </c>
      <c r="K19">
        <f>D19-F19-G19-H19-I19-J19</f>
        <v>36</v>
      </c>
      <c r="L19">
        <f>K19+J19</f>
        <v>61</v>
      </c>
      <c r="P19" t="s">
        <v>11</v>
      </c>
      <c r="Q19">
        <f>SUM(Q21:Q23)</f>
        <v>175</v>
      </c>
      <c r="R19">
        <f>SUM(R21:R23)</f>
        <v>175</v>
      </c>
      <c r="S19">
        <f>SUM(S21:S23)</f>
        <v>80</v>
      </c>
      <c r="T19">
        <f>SUM(T21:T23)</f>
        <v>5</v>
      </c>
      <c r="U19">
        <f>SUM(U21:U23)</f>
        <v>0</v>
      </c>
      <c r="V19">
        <f>SUM(V21:V23)</f>
        <v>0</v>
      </c>
      <c r="W19">
        <f>SUM(W21:W23)</f>
        <v>30</v>
      </c>
      <c r="X19">
        <f>Q19-S19-T19-U19-V19-W19</f>
        <v>60</v>
      </c>
      <c r="Y19">
        <f>X19+W19</f>
        <v>90</v>
      </c>
    </row>
    <row r="20" spans="2:26" x14ac:dyDescent="0.4">
      <c r="C20" t="s">
        <v>9</v>
      </c>
      <c r="D20" t="s">
        <v>21</v>
      </c>
      <c r="E20" t="s">
        <v>21</v>
      </c>
      <c r="F20" s="2">
        <f>F19-S19</f>
        <v>27</v>
      </c>
      <c r="G20" s="2">
        <f t="shared" ref="G20:J20" si="0">G19-T19</f>
        <v>0</v>
      </c>
      <c r="H20" s="2">
        <f t="shared" si="0"/>
        <v>1</v>
      </c>
      <c r="I20" s="2">
        <f t="shared" si="0"/>
        <v>1</v>
      </c>
      <c r="J20" s="2">
        <f t="shared" si="0"/>
        <v>-5</v>
      </c>
      <c r="K20" s="2">
        <f>K19-X19</f>
        <v>-24</v>
      </c>
      <c r="L20" s="2">
        <f t="shared" ref="L20" si="1">L19-Y19</f>
        <v>-29</v>
      </c>
      <c r="P20" t="s">
        <v>9</v>
      </c>
      <c r="X20">
        <f t="shared" ref="X20:X22" si="2">Q20-S20-T20-U20-V20-W20</f>
        <v>0</v>
      </c>
      <c r="Y20">
        <f>X20+W20</f>
        <v>0</v>
      </c>
    </row>
    <row r="21" spans="2:26" x14ac:dyDescent="0.4">
      <c r="C21" t="s">
        <v>7</v>
      </c>
      <c r="D21">
        <v>100</v>
      </c>
      <c r="E21">
        <v>100</v>
      </c>
      <c r="F21">
        <v>37</v>
      </c>
      <c r="G21">
        <v>5</v>
      </c>
      <c r="H21">
        <v>1</v>
      </c>
      <c r="I21">
        <v>1</v>
      </c>
      <c r="J21">
        <v>25</v>
      </c>
      <c r="K21">
        <f t="shared" ref="K20:K22" si="3">D21-F21-G21-H21-I21-J21</f>
        <v>31</v>
      </c>
      <c r="L21">
        <f>K21+J21</f>
        <v>56</v>
      </c>
      <c r="P21" t="s">
        <v>7</v>
      </c>
      <c r="Q21">
        <v>100</v>
      </c>
      <c r="R21">
        <v>100</v>
      </c>
      <c r="S21">
        <v>25</v>
      </c>
      <c r="T21">
        <v>5</v>
      </c>
      <c r="U21">
        <v>0</v>
      </c>
      <c r="V21">
        <v>0</v>
      </c>
      <c r="W21">
        <v>30</v>
      </c>
      <c r="X21">
        <f t="shared" si="2"/>
        <v>40</v>
      </c>
      <c r="Y21">
        <f>X21+W21</f>
        <v>70</v>
      </c>
    </row>
    <row r="22" spans="2:26" x14ac:dyDescent="0.4">
      <c r="C22" t="s">
        <v>8</v>
      </c>
      <c r="D22">
        <v>50</v>
      </c>
      <c r="E22">
        <v>50</v>
      </c>
      <c r="F22">
        <v>45</v>
      </c>
      <c r="G22">
        <v>0</v>
      </c>
      <c r="H22">
        <v>0</v>
      </c>
      <c r="I22">
        <v>0</v>
      </c>
      <c r="J22">
        <v>0</v>
      </c>
      <c r="K22">
        <f t="shared" si="3"/>
        <v>5</v>
      </c>
      <c r="L22">
        <f>K22+J22</f>
        <v>5</v>
      </c>
      <c r="P22" t="s">
        <v>8</v>
      </c>
      <c r="Q22">
        <v>50</v>
      </c>
      <c r="R22">
        <v>50</v>
      </c>
      <c r="S22">
        <v>30</v>
      </c>
      <c r="X22">
        <f t="shared" si="2"/>
        <v>20</v>
      </c>
      <c r="Y22">
        <f>X22+W22</f>
        <v>20</v>
      </c>
    </row>
    <row r="23" spans="2:26" x14ac:dyDescent="0.4">
      <c r="C23" t="s">
        <v>10</v>
      </c>
      <c r="D23">
        <v>25</v>
      </c>
      <c r="E23">
        <v>25</v>
      </c>
      <c r="F23">
        <v>25</v>
      </c>
      <c r="G23">
        <v>0</v>
      </c>
      <c r="H23">
        <v>0</v>
      </c>
      <c r="I23">
        <v>0</v>
      </c>
      <c r="J23">
        <v>0</v>
      </c>
      <c r="K23">
        <v>0</v>
      </c>
      <c r="L23">
        <f>K23+J23</f>
        <v>0</v>
      </c>
      <c r="P23" t="s">
        <v>10</v>
      </c>
      <c r="Q23">
        <v>25</v>
      </c>
      <c r="R23">
        <v>25</v>
      </c>
      <c r="S23">
        <v>25</v>
      </c>
      <c r="T23">
        <v>0</v>
      </c>
      <c r="U23">
        <v>0</v>
      </c>
      <c r="V23">
        <v>0</v>
      </c>
      <c r="W23">
        <v>0</v>
      </c>
      <c r="X23">
        <v>0</v>
      </c>
      <c r="Y23">
        <f>X23+W23</f>
        <v>0</v>
      </c>
    </row>
    <row r="26" spans="2:26" x14ac:dyDescent="0.4">
      <c r="B26" t="s">
        <v>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進捗シート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清水大暉</dc:creator>
  <cp:lastModifiedBy>清水大暉</cp:lastModifiedBy>
  <dcterms:created xsi:type="dcterms:W3CDTF">2020-10-17T05:00:25Z</dcterms:created>
  <dcterms:modified xsi:type="dcterms:W3CDTF">2020-10-17T05:09:37Z</dcterms:modified>
</cp:coreProperties>
</file>